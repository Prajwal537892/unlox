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d.docs.live.net/dcae3227b6f5559c/Desktop/unlox/EXCEL/"/>
    </mc:Choice>
  </mc:AlternateContent>
  <xr:revisionPtr revIDLastSave="0" documentId="8_{47AEDBC9-CA7C-4BD2-B29E-AD86DE34F4FB}" xr6:coauthVersionLast="47" xr6:coauthVersionMax="47" xr10:uidLastSave="{00000000-0000-0000-0000-000000000000}"/>
  <bookViews>
    <workbookView xWindow="-108" yWindow="-108" windowWidth="23256" windowHeight="12456" activeTab="6" xr2:uid="{4A72D6C7-5191-40E8-B09F-0B19985052CE}"/>
  </bookViews>
  <sheets>
    <sheet name="Sheet1" sheetId="1" r:id="rId1"/>
    <sheet name="Sheet2" sheetId="8" r:id="rId2"/>
    <sheet name="Emp" sheetId="2" r:id="rId3"/>
    <sheet name="dept" sheetId="3" r:id="rId4"/>
    <sheet name="Sheet5" sheetId="6" r:id="rId5"/>
    <sheet name="e_product" sheetId="5" r:id="rId6"/>
    <sheet name="dashboard" sheetId="9" r:id="rId7"/>
  </sheets>
  <definedNames>
    <definedName name="_xlnm._FilterDatabase" localSheetId="0" hidden="1">Sheet1!$A$28:$C$32</definedName>
    <definedName name="Slicer_d_name">#N/A</definedName>
  </definedNames>
  <calcPr calcId="191029"/>
  <pivotCaches>
    <pivotCache cacheId="0" r:id="rId8"/>
    <pivotCache cacheId="1"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3" i="2" l="1"/>
  <c r="K4" i="2"/>
  <c r="K5" i="2"/>
  <c r="K2" i="2"/>
  <c r="J3" i="2"/>
  <c r="J4" i="2"/>
  <c r="J5" i="2"/>
  <c r="J2" i="2"/>
  <c r="E3" i="2"/>
  <c r="E4" i="2"/>
  <c r="E5" i="2"/>
  <c r="E2" i="2"/>
  <c r="D3" i="2"/>
  <c r="D4" i="2"/>
  <c r="D5" i="2"/>
  <c r="D2" i="2"/>
  <c r="F22" i="1"/>
  <c r="E22" i="1"/>
  <c r="F18" i="1"/>
  <c r="F19" i="1"/>
  <c r="F20" i="1"/>
  <c r="F21" i="1"/>
  <c r="F17" i="1"/>
  <c r="B26" i="1"/>
  <c r="B25" i="1"/>
  <c r="B24" i="1"/>
  <c r="B23" i="1"/>
  <c r="B11" i="1"/>
  <c r="B10" i="1"/>
  <c r="B9" i="1"/>
  <c r="B8" i="1"/>
  <c r="B7" i="1"/>
</calcChain>
</file>

<file path=xl/sharedStrings.xml><?xml version="1.0" encoding="utf-8"?>
<sst xmlns="http://schemas.openxmlformats.org/spreadsheetml/2006/main" count="136" uniqueCount="77">
  <si>
    <t xml:space="preserve">name </t>
  </si>
  <si>
    <t>age</t>
  </si>
  <si>
    <t>salary stucture</t>
  </si>
  <si>
    <t>gi</t>
  </si>
  <si>
    <t>gst</t>
  </si>
  <si>
    <t>pf</t>
  </si>
  <si>
    <t>net in</t>
  </si>
  <si>
    <t>a</t>
  </si>
  <si>
    <t>b</t>
  </si>
  <si>
    <t>c</t>
  </si>
  <si>
    <t>d</t>
  </si>
  <si>
    <t>e</t>
  </si>
  <si>
    <t>count</t>
  </si>
  <si>
    <t>total</t>
  </si>
  <si>
    <t>total age</t>
  </si>
  <si>
    <t>avg age</t>
  </si>
  <si>
    <t>youngest</t>
  </si>
  <si>
    <t>eldest</t>
  </si>
  <si>
    <t>product</t>
  </si>
  <si>
    <t>sales</t>
  </si>
  <si>
    <t>total sales</t>
  </si>
  <si>
    <t>min</t>
  </si>
  <si>
    <t>max</t>
  </si>
  <si>
    <t>avg</t>
  </si>
  <si>
    <t>name</t>
  </si>
  <si>
    <t>marks</t>
  </si>
  <si>
    <t>status</t>
  </si>
  <si>
    <t>gender</t>
  </si>
  <si>
    <t>m</t>
  </si>
  <si>
    <t>M</t>
  </si>
  <si>
    <t>male</t>
  </si>
  <si>
    <t>female</t>
  </si>
  <si>
    <t>Male</t>
  </si>
  <si>
    <t>F</t>
  </si>
  <si>
    <t>Female</t>
  </si>
  <si>
    <t>Gender</t>
  </si>
  <si>
    <t>Customer</t>
  </si>
  <si>
    <t>A</t>
  </si>
  <si>
    <t>B</t>
  </si>
  <si>
    <t>D</t>
  </si>
  <si>
    <t>City</t>
  </si>
  <si>
    <t>Delhi</t>
  </si>
  <si>
    <t>Mumbai</t>
  </si>
  <si>
    <t>Dehli</t>
  </si>
  <si>
    <t>C</t>
  </si>
  <si>
    <t>Bengaluru</t>
  </si>
  <si>
    <t>e_id</t>
  </si>
  <si>
    <t>d_id</t>
  </si>
  <si>
    <t>rahul</t>
  </si>
  <si>
    <t>meghana</t>
  </si>
  <si>
    <t>madhu</t>
  </si>
  <si>
    <t>neha</t>
  </si>
  <si>
    <t>d1</t>
  </si>
  <si>
    <t>d2</t>
  </si>
  <si>
    <t>d3</t>
  </si>
  <si>
    <t>d_name</t>
  </si>
  <si>
    <t>market</t>
  </si>
  <si>
    <t>HR</t>
  </si>
  <si>
    <t>code</t>
  </si>
  <si>
    <t>s9090</t>
  </si>
  <si>
    <t>m1234</t>
  </si>
  <si>
    <t>H5555</t>
  </si>
  <si>
    <t>transpose</t>
  </si>
  <si>
    <t>region</t>
  </si>
  <si>
    <t>north</t>
  </si>
  <si>
    <t>south</t>
  </si>
  <si>
    <t>laptop</t>
  </si>
  <si>
    <t>mobile</t>
  </si>
  <si>
    <t>Row Labels</t>
  </si>
  <si>
    <t>Grand Total</t>
  </si>
  <si>
    <t>Average of sales</t>
  </si>
  <si>
    <t>(All)</t>
  </si>
  <si>
    <t>using VLOOKUP</t>
  </si>
  <si>
    <t>using XLOOKUP</t>
  </si>
  <si>
    <t>department</t>
  </si>
  <si>
    <t>total_employees</t>
  </si>
  <si>
    <t>Employees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</si>
</sst>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i/>
      <sz val="11"/>
      <color theme="1"/>
      <name val="Calibri"/>
      <family val="2"/>
      <scheme val="minor"/>
    </font>
    <font>
      <sz val="48"/>
      <color theme="1"/>
      <name val="Calibri"/>
      <family val="2"/>
      <scheme val="minor"/>
    </font>
  </fonts>
  <fills count="4">
    <fill>
      <patternFill patternType="none"/>
    </fill>
    <fill>
      <patternFill patternType="gray125"/>
    </fill>
    <fill>
      <patternFill patternType="solid">
        <fgColor theme="9" tint="0.79998168889431442"/>
        <bgColor indexed="64"/>
      </patternFill>
    </fill>
    <fill>
      <patternFill patternType="solid">
        <fgColor theme="5"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2">
    <xf numFmtId="0" fontId="0" fillId="0" borderId="0" xfId="0"/>
    <xf numFmtId="0" fontId="1" fillId="0" borderId="1" xfId="0" applyFont="1" applyBorder="1" applyAlignment="1">
      <alignment horizontal="center"/>
    </xf>
    <xf numFmtId="0" fontId="0" fillId="0" borderId="1" xfId="0" applyBorder="1"/>
    <xf numFmtId="0" fontId="0" fillId="0" borderId="1" xfId="0" applyBorder="1" applyAlignment="1">
      <alignment horizontal="center"/>
    </xf>
    <xf numFmtId="0" fontId="0" fillId="0" borderId="2" xfId="0" applyBorder="1"/>
    <xf numFmtId="0" fontId="0" fillId="0" borderId="0" xfId="0" pivotButton="1"/>
    <xf numFmtId="0" fontId="0" fillId="0" borderId="0" xfId="0" applyAlignment="1">
      <alignment horizontal="left"/>
    </xf>
    <xf numFmtId="0" fontId="0" fillId="3" borderId="0" xfId="0" applyFill="1"/>
    <xf numFmtId="0" fontId="2" fillId="2" borderId="0" xfId="0" applyFont="1" applyFill="1" applyAlignment="1">
      <alignment horizontal="center"/>
    </xf>
    <xf numFmtId="0" fontId="0" fillId="2" borderId="0" xfId="0" applyFill="1" applyAlignment="1">
      <alignment horizontal="center"/>
    </xf>
    <xf numFmtId="0" fontId="1" fillId="0" borderId="1" xfId="0" applyFont="1" applyBorder="1" applyAlignment="1">
      <alignment horizontal="center"/>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17/10/relationships/person" Target="persons/person.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[2nd_excel.xlsx]Sheet2!PivotTable1</c:name>
    <c:fmtId val="6"/>
  </c:pivotSource>
  <c:chart>
    <c:title>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pivotFmt>
      <c:pivotFmt>
        <c:idx val="3"/>
      </c:pivotFmt>
      <c:pivotFmt>
        <c:idx val="4"/>
      </c:pivotFmt>
      <c:pivotFmt>
        <c:idx val="5"/>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7"/>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8"/>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Sheet2!$B$3</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0B87-49D2-9E48-7FFBEE5C10BD}"/>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0B87-49D2-9E48-7FFBEE5C10BD}"/>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0B87-49D2-9E48-7FFBEE5C10BD}"/>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Sheet2!$A$4:$A$6</c:f>
              <c:strCache>
                <c:ptCount val="3"/>
                <c:pt idx="0">
                  <c:v>HR</c:v>
                </c:pt>
                <c:pt idx="1">
                  <c:v>market</c:v>
                </c:pt>
                <c:pt idx="2">
                  <c:v>sales</c:v>
                </c:pt>
              </c:strCache>
            </c:strRef>
          </c:cat>
          <c:val>
            <c:numRef>
              <c:f>Sheet2!$B$4:$B$6</c:f>
              <c:numCache>
                <c:formatCode>General</c:formatCode>
                <c:ptCount val="3"/>
                <c:pt idx="0">
                  <c:v>1</c:v>
                </c:pt>
                <c:pt idx="1">
                  <c:v>1</c:v>
                </c:pt>
                <c:pt idx="2">
                  <c:v>2</c:v>
                </c:pt>
              </c:numCache>
            </c:numRef>
          </c:val>
          <c:extLst>
            <c:ext xmlns:c16="http://schemas.microsoft.com/office/drawing/2014/chart" uri="{C3380CC4-5D6E-409C-BE32-E72D297353CC}">
              <c16:uniqueId val="{00000006-0B87-49D2-9E48-7FFBEE5C10BD}"/>
            </c:ext>
          </c:extLst>
        </c:ser>
        <c:dLbls>
          <c:dLblPos val="outEnd"/>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[2nd_excel.xlsx]Sheet2!PivotTable1</c:name>
    <c:fmtId val="1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Sheet2!$A$4:$A$6</c:f>
              <c:strCache>
                <c:ptCount val="3"/>
                <c:pt idx="0">
                  <c:v>HR</c:v>
                </c:pt>
                <c:pt idx="1">
                  <c:v>market</c:v>
                </c:pt>
                <c:pt idx="2">
                  <c:v>sales</c:v>
                </c:pt>
              </c:strCache>
            </c:strRef>
          </c:cat>
          <c:val>
            <c:numRef>
              <c:f>Sheet2!$B$4:$B$6</c:f>
              <c:numCache>
                <c:formatCode>General</c:formatCode>
                <c:ptCount val="3"/>
                <c:pt idx="0">
                  <c:v>1</c:v>
                </c:pt>
                <c:pt idx="1">
                  <c:v>1</c:v>
                </c:pt>
                <c:pt idx="2">
                  <c:v>2</c:v>
                </c:pt>
              </c:numCache>
            </c:numRef>
          </c:val>
          <c:extLst>
            <c:ext xmlns:c16="http://schemas.microsoft.com/office/drawing/2014/chart" uri="{C3380CC4-5D6E-409C-BE32-E72D297353CC}">
              <c16:uniqueId val="{00000000-B535-4380-B99C-FE5F18BD3C3B}"/>
            </c:ext>
          </c:extLst>
        </c:ser>
        <c:dLbls>
          <c:dLblPos val="outEnd"/>
          <c:showLegendKey val="0"/>
          <c:showVal val="1"/>
          <c:showCatName val="0"/>
          <c:showSerName val="0"/>
          <c:showPercent val="0"/>
          <c:showBubbleSize val="0"/>
        </c:dLbls>
        <c:gapWidth val="355"/>
        <c:overlap val="-70"/>
        <c:axId val="437786127"/>
        <c:axId val="437786607"/>
      </c:barChart>
      <c:catAx>
        <c:axId val="437786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786607"/>
        <c:crosses val="autoZero"/>
        <c:auto val="1"/>
        <c:lblAlgn val="ctr"/>
        <c:lblOffset val="100"/>
        <c:noMultiLvlLbl val="0"/>
      </c:catAx>
      <c:valAx>
        <c:axId val="437786607"/>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786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5</xdr:row>
      <xdr:rowOff>0</xdr:rowOff>
    </xdr:from>
    <xdr:to>
      <xdr:col>5</xdr:col>
      <xdr:colOff>91440</xdr:colOff>
      <xdr:row>16</xdr:row>
      <xdr:rowOff>114300</xdr:rowOff>
    </xdr:to>
    <xdr:graphicFrame macro="">
      <xdr:nvGraphicFramePr>
        <xdr:cNvPr id="2" name="Chart 1">
          <a:extLst>
            <a:ext uri="{FF2B5EF4-FFF2-40B4-BE49-F238E27FC236}">
              <a16:creationId xmlns:a16="http://schemas.microsoft.com/office/drawing/2014/main" id="{BE3E5220-895D-401C-ABA4-67C30364E0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350520</xdr:colOff>
      <xdr:row>5</xdr:row>
      <xdr:rowOff>68581</xdr:rowOff>
    </xdr:from>
    <xdr:to>
      <xdr:col>8</xdr:col>
      <xdr:colOff>137160</xdr:colOff>
      <xdr:row>13</xdr:row>
      <xdr:rowOff>15241</xdr:rowOff>
    </xdr:to>
    <mc:AlternateContent xmlns:mc="http://schemas.openxmlformats.org/markup-compatibility/2006" xmlns:a14="http://schemas.microsoft.com/office/drawing/2010/main">
      <mc:Choice Requires="a14">
        <xdr:graphicFrame macro="">
          <xdr:nvGraphicFramePr>
            <xdr:cNvPr id="3" name="d_name">
              <a:extLst>
                <a:ext uri="{FF2B5EF4-FFF2-40B4-BE49-F238E27FC236}">
                  <a16:creationId xmlns:a16="http://schemas.microsoft.com/office/drawing/2014/main" id="{68340FCA-F7B5-335C-F14D-E9CA6318D7B6}"/>
                </a:ext>
              </a:extLst>
            </xdr:cNvPr>
            <xdr:cNvGraphicFramePr/>
          </xdr:nvGraphicFramePr>
          <xdr:xfrm>
            <a:off x="0" y="0"/>
            <a:ext cx="0" cy="0"/>
          </xdr:xfrm>
          <a:graphic>
            <a:graphicData uri="http://schemas.microsoft.com/office/drawing/2010/slicer">
              <sle:slicer xmlns:sle="http://schemas.microsoft.com/office/drawing/2010/slicer" name="d_name"/>
            </a:graphicData>
          </a:graphic>
        </xdr:graphicFrame>
      </mc:Choice>
      <mc:Fallback xmlns="">
        <xdr:sp macro="" textlink="">
          <xdr:nvSpPr>
            <xdr:cNvPr id="0" name=""/>
            <xdr:cNvSpPr>
              <a:spLocks noTextEdit="1"/>
            </xdr:cNvSpPr>
          </xdr:nvSpPr>
          <xdr:spPr>
            <a:xfrm>
              <a:off x="3398520" y="982981"/>
              <a:ext cx="1615440" cy="1409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396240</xdr:colOff>
      <xdr:row>5</xdr:row>
      <xdr:rowOff>91440</xdr:rowOff>
    </xdr:from>
    <xdr:to>
      <xdr:col>15</xdr:col>
      <xdr:colOff>15240</xdr:colOff>
      <xdr:row>20</xdr:row>
      <xdr:rowOff>45720</xdr:rowOff>
    </xdr:to>
    <xdr:graphicFrame macro="">
      <xdr:nvGraphicFramePr>
        <xdr:cNvPr id="4" name="Chart 3">
          <a:extLst>
            <a:ext uri="{FF2B5EF4-FFF2-40B4-BE49-F238E27FC236}">
              <a16:creationId xmlns:a16="http://schemas.microsoft.com/office/drawing/2014/main" id="{7AD8755C-B6FE-41D0-A472-0B2E368DC5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ghana uppar" refreshedDate="46091.795487615738" createdVersion="8" refreshedVersion="8" minRefreshableVersion="3" recordCount="4" xr:uid="{528AE08D-1EB1-4718-BBFC-FA2E8413DCCB}">
  <cacheSource type="worksheet">
    <worksheetSource ref="A1:C5" sheet="e_product"/>
  </cacheSource>
  <cacheFields count="3">
    <cacheField name="region" numFmtId="0">
      <sharedItems count="2">
        <s v="north"/>
        <s v="south"/>
      </sharedItems>
    </cacheField>
    <cacheField name="product" numFmtId="0">
      <sharedItems count="2">
        <s v="laptop"/>
        <s v="mobile"/>
      </sharedItems>
    </cacheField>
    <cacheField name="sales" numFmtId="0">
      <sharedItems containsSemiMixedTypes="0" containsString="0" containsNumber="1" containsInteger="1" minValue="600" maxValue="10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ghana uppar" refreshedDate="46092.83479976852" createdVersion="8" refreshedVersion="8" minRefreshableVersion="3" recordCount="4" xr:uid="{B18CD043-A23F-4EF4-B4EA-DC7915DCAF58}">
  <cacheSource type="worksheet">
    <worksheetSource ref="A1:E5" sheet="Emp"/>
  </cacheSource>
  <cacheFields count="5">
    <cacheField name="e_id" numFmtId="0">
      <sharedItems containsSemiMixedTypes="0" containsString="0" containsNumber="1" containsInteger="1" minValue="101" maxValue="104"/>
    </cacheField>
    <cacheField name="name" numFmtId="0">
      <sharedItems/>
    </cacheField>
    <cacheField name="d_id" numFmtId="0">
      <sharedItems/>
    </cacheField>
    <cacheField name="d_name" numFmtId="0">
      <sharedItems count="3">
        <s v="sales"/>
        <s v="market"/>
        <s v="HR"/>
      </sharedItems>
    </cacheField>
    <cacheField name="code" numFmtId="0">
      <sharedItems/>
    </cacheField>
  </cacheFields>
  <extLst>
    <ext xmlns:x14="http://schemas.microsoft.com/office/spreadsheetml/2009/9/main" uri="{725AE2AE-9491-48be-B2B4-4EB974FC3084}">
      <x14:pivotCacheDefinition pivotCacheId="13409156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x v="0"/>
    <n v="1000"/>
  </r>
  <r>
    <x v="1"/>
    <x v="1"/>
    <n v="800"/>
  </r>
  <r>
    <x v="0"/>
    <x v="0"/>
    <n v="600"/>
  </r>
  <r>
    <x v="1"/>
    <x v="1"/>
    <n v="75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n v="101"/>
    <s v="rahul"/>
    <s v="d1"/>
    <x v="0"/>
    <s v="s9090"/>
  </r>
  <r>
    <n v="102"/>
    <s v="meghana"/>
    <s v="d2"/>
    <x v="1"/>
    <s v="m1234"/>
  </r>
  <r>
    <n v="103"/>
    <s v="madhu"/>
    <s v="d1"/>
    <x v="0"/>
    <s v="s9090"/>
  </r>
  <r>
    <n v="104"/>
    <s v="neha"/>
    <s v="d3"/>
    <x v="2"/>
    <s v="H555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FB33C03-E02D-4E3A-BD8B-6D0F9E6FD818}" name="PivotTable1"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5" rowHeaderCaption="department">
  <location ref="A3:B6" firstHeaderRow="1" firstDataRow="1" firstDataCol="1"/>
  <pivotFields count="5">
    <pivotField dataField="1" showAll="0"/>
    <pivotField showAll="0"/>
    <pivotField showAll="0"/>
    <pivotField axis="axisRow" showAll="0">
      <items count="4">
        <item x="2"/>
        <item x="1"/>
        <item x="0"/>
        <item t="default"/>
      </items>
    </pivotField>
    <pivotField showAll="0"/>
  </pivotFields>
  <rowFields count="1">
    <field x="3"/>
  </rowFields>
  <rowItems count="3">
    <i>
      <x/>
    </i>
    <i>
      <x v="1"/>
    </i>
    <i>
      <x v="2"/>
    </i>
  </rowItems>
  <colItems count="1">
    <i/>
  </colItems>
  <dataFields count="1">
    <dataField name="total_employees" fld="0" subtotal="count" baseField="3" baseItem="0"/>
  </dataFields>
  <chartFormats count="8">
    <chartFormat chart="2"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3" count="1" selected="0">
            <x v="0"/>
          </reference>
        </references>
      </pivotArea>
    </chartFormat>
    <chartFormat chart="6" format="7">
      <pivotArea type="data" outline="0" fieldPosition="0">
        <references count="2">
          <reference field="4294967294" count="1" selected="0">
            <x v="0"/>
          </reference>
          <reference field="3" count="1" selected="0">
            <x v="1"/>
          </reference>
        </references>
      </pivotArea>
    </chartFormat>
    <chartFormat chart="6" format="8">
      <pivotArea type="data" outline="0" fieldPosition="0">
        <references count="2">
          <reference field="4294967294" count="1" selected="0">
            <x v="0"/>
          </reference>
          <reference field="3" count="1" selected="0">
            <x v="2"/>
          </reference>
        </references>
      </pivotArea>
    </chartFormat>
    <chartFormat chart="9"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1DA577-21AF-40F4-9FFC-E0620D6B6E7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6" firstHeaderRow="1" firstDataRow="1" firstDataCol="1" rowPageCount="1" colPageCount="1"/>
  <pivotFields count="3">
    <pivotField axis="axisRow" showAll="0">
      <items count="3">
        <item x="0"/>
        <item x="1"/>
        <item t="default"/>
      </items>
    </pivotField>
    <pivotField axis="axisPage" showAll="0">
      <items count="3">
        <item x="0"/>
        <item x="1"/>
        <item t="default"/>
      </items>
    </pivotField>
    <pivotField dataField="1" showAll="0"/>
  </pivotFields>
  <rowFields count="1">
    <field x="0"/>
  </rowFields>
  <rowItems count="3">
    <i>
      <x/>
    </i>
    <i>
      <x v="1"/>
    </i>
    <i t="grand">
      <x/>
    </i>
  </rowItems>
  <colItems count="1">
    <i/>
  </colItems>
  <pageFields count="1">
    <pageField fld="1" hier="-1"/>
  </pageFields>
  <dataFields count="1">
    <dataField name="Average of sales" fld="2" subtotal="average"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_name" xr10:uid="{0D002B80-986F-496F-B2F6-924E0AB2C313}" sourceName="d_name">
  <pivotTables>
    <pivotTable tabId="8" name="PivotTable1"/>
  </pivotTables>
  <data>
    <tabular pivotCacheId="1340915647">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_name" xr10:uid="{04C3897E-11AD-4A6C-99EA-1D3C2774AC13}" cache="Slicer_d_name" caption="d_nam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C6978-2579-4589-BB42-981572F3CA14}">
  <sheetPr filterMode="1"/>
  <dimension ref="A1:I32"/>
  <sheetViews>
    <sheetView topLeftCell="A18" workbookViewId="0">
      <selection activeCell="J28" sqref="J28"/>
    </sheetView>
  </sheetViews>
  <sheetFormatPr defaultRowHeight="14.4" x14ac:dyDescent="0.3"/>
  <cols>
    <col min="6" max="6" width="13.33203125" customWidth="1"/>
  </cols>
  <sheetData>
    <row r="1" spans="1:8" x14ac:dyDescent="0.3">
      <c r="A1" s="1" t="s">
        <v>0</v>
      </c>
      <c r="B1" s="1" t="s">
        <v>1</v>
      </c>
      <c r="C1" s="10" t="s">
        <v>2</v>
      </c>
      <c r="D1" s="10"/>
      <c r="E1" s="10"/>
      <c r="F1" s="3"/>
    </row>
    <row r="2" spans="1:8" x14ac:dyDescent="0.3">
      <c r="A2" s="2" t="s">
        <v>7</v>
      </c>
      <c r="B2" s="2">
        <v>23</v>
      </c>
      <c r="C2" s="2" t="s">
        <v>3</v>
      </c>
      <c r="D2" s="2" t="s">
        <v>4</v>
      </c>
      <c r="E2" s="2" t="s">
        <v>5</v>
      </c>
      <c r="F2" s="2" t="s">
        <v>6</v>
      </c>
    </row>
    <row r="3" spans="1:8" x14ac:dyDescent="0.3">
      <c r="A3" s="2" t="s">
        <v>8</v>
      </c>
      <c r="B3" s="2">
        <v>45</v>
      </c>
      <c r="C3" s="2"/>
      <c r="D3" s="2"/>
      <c r="E3" s="2"/>
      <c r="F3" s="2"/>
    </row>
    <row r="4" spans="1:8" x14ac:dyDescent="0.3">
      <c r="A4" s="2" t="s">
        <v>9</v>
      </c>
      <c r="B4" s="2">
        <v>67</v>
      </c>
      <c r="C4" s="2"/>
      <c r="D4" s="2"/>
      <c r="E4" s="2"/>
      <c r="F4" s="2"/>
    </row>
    <row r="5" spans="1:8" x14ac:dyDescent="0.3">
      <c r="A5" s="2" t="s">
        <v>10</v>
      </c>
      <c r="B5" s="2">
        <v>89</v>
      </c>
      <c r="C5" s="2"/>
      <c r="D5" s="2"/>
      <c r="E5" s="2"/>
      <c r="F5" s="2"/>
    </row>
    <row r="6" spans="1:8" x14ac:dyDescent="0.3">
      <c r="A6" s="2" t="s">
        <v>11</v>
      </c>
      <c r="B6" s="2">
        <v>10</v>
      </c>
      <c r="C6" s="2"/>
      <c r="D6" s="2"/>
      <c r="E6" s="2"/>
      <c r="F6" s="2"/>
    </row>
    <row r="7" spans="1:8" x14ac:dyDescent="0.3">
      <c r="A7" s="2" t="s">
        <v>12</v>
      </c>
      <c r="B7" s="2">
        <f>COUNT(B2:B6)</f>
        <v>5</v>
      </c>
      <c r="C7" s="2"/>
      <c r="D7" s="2"/>
      <c r="E7" s="2"/>
      <c r="F7" s="2"/>
    </row>
    <row r="8" spans="1:8" x14ac:dyDescent="0.3">
      <c r="A8" s="2" t="s">
        <v>14</v>
      </c>
      <c r="B8" s="2">
        <f>SUM(B2:B6)</f>
        <v>234</v>
      </c>
      <c r="C8" s="2"/>
      <c r="D8" s="2"/>
      <c r="E8" s="2"/>
      <c r="F8" s="2"/>
    </row>
    <row r="9" spans="1:8" x14ac:dyDescent="0.3">
      <c r="A9" s="2" t="s">
        <v>15</v>
      </c>
      <c r="B9" s="2">
        <f>AVERAGE(B2:B6)</f>
        <v>46.8</v>
      </c>
      <c r="C9" s="2"/>
      <c r="D9" s="2"/>
      <c r="E9" s="2"/>
      <c r="F9" s="2"/>
    </row>
    <row r="10" spans="1:8" x14ac:dyDescent="0.3">
      <c r="A10" s="2" t="s">
        <v>16</v>
      </c>
      <c r="B10" s="2">
        <f>MIN(B2:B6)</f>
        <v>10</v>
      </c>
      <c r="C10" s="2"/>
      <c r="D10" s="2"/>
      <c r="E10" s="2"/>
      <c r="F10" s="2"/>
    </row>
    <row r="11" spans="1:8" x14ac:dyDescent="0.3">
      <c r="A11" s="2" t="s">
        <v>17</v>
      </c>
      <c r="B11" s="2">
        <f>MAX((B2:B6))</f>
        <v>89</v>
      </c>
      <c r="C11" s="2"/>
      <c r="D11" s="2"/>
      <c r="E11" s="2"/>
      <c r="F11" s="2"/>
    </row>
    <row r="12" spans="1:8" x14ac:dyDescent="0.3">
      <c r="A12" s="2"/>
      <c r="B12" s="2"/>
      <c r="C12" s="2"/>
      <c r="D12" s="2"/>
      <c r="E12" s="2"/>
      <c r="F12" s="2"/>
    </row>
    <row r="13" spans="1:8" x14ac:dyDescent="0.3">
      <c r="A13" s="2"/>
      <c r="B13" s="2"/>
      <c r="C13" s="2"/>
      <c r="D13" s="2"/>
      <c r="E13" s="2"/>
      <c r="F13" s="2"/>
    </row>
    <row r="14" spans="1:8" x14ac:dyDescent="0.3">
      <c r="A14" s="2"/>
      <c r="B14" s="2"/>
      <c r="C14" s="2"/>
      <c r="D14" s="2"/>
      <c r="E14" s="2"/>
      <c r="F14" s="2"/>
    </row>
    <row r="16" spans="1:8" x14ac:dyDescent="0.3">
      <c r="A16" s="2" t="s">
        <v>18</v>
      </c>
      <c r="B16" s="2" t="s">
        <v>19</v>
      </c>
      <c r="D16" s="2" t="s">
        <v>24</v>
      </c>
      <c r="E16" s="2" t="s">
        <v>25</v>
      </c>
      <c r="F16" s="2" t="s">
        <v>26</v>
      </c>
      <c r="G16" s="4" t="s">
        <v>27</v>
      </c>
      <c r="H16" s="4" t="s">
        <v>35</v>
      </c>
    </row>
    <row r="17" spans="1:9" x14ac:dyDescent="0.3">
      <c r="A17" s="2" t="s">
        <v>7</v>
      </c>
      <c r="B17" s="2">
        <v>500</v>
      </c>
      <c r="D17" s="2" t="s">
        <v>7</v>
      </c>
      <c r="E17" s="2">
        <v>500</v>
      </c>
      <c r="F17" s="2" t="str">
        <f>IF(E17&gt;500,"pass","fail")</f>
        <v>fail</v>
      </c>
      <c r="G17" t="s">
        <v>28</v>
      </c>
    </row>
    <row r="18" spans="1:9" x14ac:dyDescent="0.3">
      <c r="A18" s="2" t="s">
        <v>8</v>
      </c>
      <c r="B18" s="2">
        <v>800</v>
      </c>
      <c r="D18" s="2" t="s">
        <v>8</v>
      </c>
      <c r="E18" s="2">
        <v>800</v>
      </c>
      <c r="F18" s="2" t="str">
        <f t="shared" ref="F18:F21" si="0">IF(E18&gt;500,"pass","fail")</f>
        <v>pass</v>
      </c>
      <c r="G18" t="s">
        <v>29</v>
      </c>
    </row>
    <row r="19" spans="1:9" x14ac:dyDescent="0.3">
      <c r="A19" s="2" t="s">
        <v>9</v>
      </c>
      <c r="B19" s="2">
        <v>1000</v>
      </c>
      <c r="D19" s="2" t="s">
        <v>9</v>
      </c>
      <c r="E19" s="2">
        <v>850</v>
      </c>
      <c r="F19" s="2" t="str">
        <f t="shared" si="0"/>
        <v>pass</v>
      </c>
      <c r="G19" t="s">
        <v>30</v>
      </c>
    </row>
    <row r="20" spans="1:9" x14ac:dyDescent="0.3">
      <c r="A20" s="2" t="s">
        <v>10</v>
      </c>
      <c r="B20" s="2">
        <v>900</v>
      </c>
      <c r="D20" s="2" t="s">
        <v>10</v>
      </c>
      <c r="E20" s="2">
        <v>650</v>
      </c>
      <c r="F20" s="2" t="str">
        <f t="shared" si="0"/>
        <v>pass</v>
      </c>
      <c r="G20" t="s">
        <v>31</v>
      </c>
    </row>
    <row r="21" spans="1:9" x14ac:dyDescent="0.3">
      <c r="A21" s="2" t="s">
        <v>11</v>
      </c>
      <c r="B21" s="2">
        <v>400</v>
      </c>
      <c r="D21" s="2" t="s">
        <v>11</v>
      </c>
      <c r="E21" s="2">
        <v>400</v>
      </c>
      <c r="F21" s="2" t="str">
        <f t="shared" si="0"/>
        <v>fail</v>
      </c>
      <c r="G21" t="s">
        <v>32</v>
      </c>
    </row>
    <row r="22" spans="1:9" x14ac:dyDescent="0.3">
      <c r="A22" s="2"/>
      <c r="B22" s="2"/>
      <c r="D22" s="2" t="s">
        <v>13</v>
      </c>
      <c r="E22" s="2">
        <f>SUM(E17:E21)</f>
        <v>3200</v>
      </c>
      <c r="F22" s="2" t="str">
        <f>IF(E22&gt;3000,"target achieved","failed")</f>
        <v>target achieved</v>
      </c>
      <c r="G22" t="s">
        <v>33</v>
      </c>
    </row>
    <row r="23" spans="1:9" x14ac:dyDescent="0.3">
      <c r="A23" s="2" t="s">
        <v>20</v>
      </c>
      <c r="B23" s="2">
        <f>SUM(B17:B21)</f>
        <v>3600</v>
      </c>
      <c r="G23" t="s">
        <v>34</v>
      </c>
    </row>
    <row r="24" spans="1:9" x14ac:dyDescent="0.3">
      <c r="A24" s="2" t="s">
        <v>21</v>
      </c>
      <c r="B24" s="2">
        <f>MIN(B17:B21)</f>
        <v>400</v>
      </c>
    </row>
    <row r="25" spans="1:9" x14ac:dyDescent="0.3">
      <c r="A25" s="2" t="s">
        <v>22</v>
      </c>
      <c r="B25" s="2">
        <f>MAX(B17:B21)</f>
        <v>1000</v>
      </c>
    </row>
    <row r="26" spans="1:9" x14ac:dyDescent="0.3">
      <c r="A26" s="2" t="s">
        <v>23</v>
      </c>
      <c r="B26" s="2">
        <f>AVERAGE(B17:B21)</f>
        <v>720</v>
      </c>
    </row>
    <row r="28" spans="1:9" x14ac:dyDescent="0.3">
      <c r="A28" s="2" t="s">
        <v>36</v>
      </c>
      <c r="B28" s="2" t="s">
        <v>40</v>
      </c>
      <c r="C28" s="2" t="s">
        <v>19</v>
      </c>
    </row>
    <row r="29" spans="1:9" hidden="1" x14ac:dyDescent="0.3">
      <c r="A29" s="2" t="s">
        <v>37</v>
      </c>
      <c r="B29" s="2" t="s">
        <v>41</v>
      </c>
      <c r="C29" s="2">
        <v>500</v>
      </c>
      <c r="I29" t="s">
        <v>52</v>
      </c>
    </row>
    <row r="30" spans="1:9" x14ac:dyDescent="0.3">
      <c r="A30" s="2" t="s">
        <v>38</v>
      </c>
      <c r="B30" s="2" t="s">
        <v>42</v>
      </c>
      <c r="C30" s="2">
        <v>730</v>
      </c>
    </row>
    <row r="31" spans="1:9" hidden="1" x14ac:dyDescent="0.3">
      <c r="A31" s="2" t="s">
        <v>44</v>
      </c>
      <c r="B31" s="2" t="s">
        <v>43</v>
      </c>
      <c r="C31" s="2">
        <v>300</v>
      </c>
      <c r="I31" t="s">
        <v>54</v>
      </c>
    </row>
    <row r="32" spans="1:9" x14ac:dyDescent="0.3">
      <c r="A32" s="2" t="s">
        <v>39</v>
      </c>
      <c r="B32" s="2" t="s">
        <v>45</v>
      </c>
      <c r="C32" s="2">
        <v>900</v>
      </c>
    </row>
  </sheetData>
  <autoFilter ref="A28:C32" xr:uid="{44DC6978-2579-4589-BB42-981572F3CA14}">
    <filterColumn colId="1">
      <filters>
        <filter val="Bengaluru"/>
        <filter val="Mumbai"/>
      </filters>
    </filterColumn>
  </autoFilter>
  <mergeCells count="1">
    <mergeCell ref="C1:E1"/>
  </mergeCells>
  <dataValidations count="1">
    <dataValidation type="custom" allowBlank="1" showInputMessage="1" showErrorMessage="1" sqref="H17:H23" xr:uid="{D7F76F0F-E3B5-45EE-9AFA-FA82CECD622D}">
      <formula1>"MALE FEMALE"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FBD23-228F-4D6B-BEE2-59A961423935}">
  <dimension ref="A3:B6"/>
  <sheetViews>
    <sheetView workbookViewId="0">
      <selection activeCell="B5" sqref="B5"/>
    </sheetView>
  </sheetViews>
  <sheetFormatPr defaultRowHeight="14.4" x14ac:dyDescent="0.3"/>
  <cols>
    <col min="1" max="1" width="13.21875" bestFit="1" customWidth="1"/>
    <col min="2" max="2" width="15.109375" bestFit="1" customWidth="1"/>
  </cols>
  <sheetData>
    <row r="3" spans="1:2" x14ac:dyDescent="0.3">
      <c r="A3" s="5" t="s">
        <v>74</v>
      </c>
      <c r="B3" t="s">
        <v>75</v>
      </c>
    </row>
    <row r="4" spans="1:2" x14ac:dyDescent="0.3">
      <c r="A4" s="6" t="s">
        <v>57</v>
      </c>
      <c r="B4">
        <v>1</v>
      </c>
    </row>
    <row r="5" spans="1:2" x14ac:dyDescent="0.3">
      <c r="A5" s="6" t="s">
        <v>56</v>
      </c>
      <c r="B5">
        <v>1</v>
      </c>
    </row>
    <row r="6" spans="1:2" x14ac:dyDescent="0.3">
      <c r="A6" s="6" t="s">
        <v>19</v>
      </c>
      <c r="B6">
        <v>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CDB37-50AF-4E45-95A4-56CA5C708892}">
  <dimension ref="A1:K7"/>
  <sheetViews>
    <sheetView workbookViewId="0">
      <selection sqref="A1:E5"/>
    </sheetView>
  </sheetViews>
  <sheetFormatPr defaultRowHeight="14.4" x14ac:dyDescent="0.3"/>
  <sheetData>
    <row r="1" spans="1:11" x14ac:dyDescent="0.3">
      <c r="A1" s="2" t="s">
        <v>46</v>
      </c>
      <c r="B1" s="2" t="s">
        <v>24</v>
      </c>
      <c r="C1" s="2" t="s">
        <v>47</v>
      </c>
      <c r="D1" s="2" t="s">
        <v>55</v>
      </c>
      <c r="E1" s="2" t="s">
        <v>58</v>
      </c>
      <c r="G1" s="2" t="s">
        <v>46</v>
      </c>
      <c r="H1" s="2" t="s">
        <v>24</v>
      </c>
      <c r="I1" s="2" t="s">
        <v>47</v>
      </c>
      <c r="J1" s="2" t="s">
        <v>55</v>
      </c>
      <c r="K1" s="2" t="s">
        <v>58</v>
      </c>
    </row>
    <row r="2" spans="1:11" x14ac:dyDescent="0.3">
      <c r="A2" s="2">
        <v>101</v>
      </c>
      <c r="B2" s="2" t="s">
        <v>48</v>
      </c>
      <c r="C2" s="2" t="s">
        <v>52</v>
      </c>
      <c r="D2" s="2" t="str">
        <f>VLOOKUP(C2,dept!$A$1:$B$4,2,FALSE)</f>
        <v>sales</v>
      </c>
      <c r="E2" s="2" t="str">
        <f>VLOOKUP(C2,dept!$A$2:$C$4,3,FALSE)</f>
        <v>s9090</v>
      </c>
      <c r="G2" s="2">
        <v>101</v>
      </c>
      <c r="H2" s="2" t="s">
        <v>48</v>
      </c>
      <c r="I2" s="2" t="s">
        <v>52</v>
      </c>
      <c r="J2" s="2" t="str">
        <f>_xlfn.XLOOKUP(I2,dept!$A$2:$A$4,dept!$B$2:$B$4)</f>
        <v>sales</v>
      </c>
      <c r="K2" s="2" t="str">
        <f>_xlfn.XLOOKUP(I2,dept!$A$2:$A$4,dept!$C$2:$C$4,)</f>
        <v>s9090</v>
      </c>
    </row>
    <row r="3" spans="1:11" x14ac:dyDescent="0.3">
      <c r="A3" s="2">
        <v>102</v>
      </c>
      <c r="B3" s="2" t="s">
        <v>49</v>
      </c>
      <c r="C3" s="2" t="s">
        <v>53</v>
      </c>
      <c r="D3" s="2" t="str">
        <f>VLOOKUP(C3,dept!$A$1:$B$4,2,FALSE)</f>
        <v>market</v>
      </c>
      <c r="E3" s="2" t="str">
        <f>VLOOKUP(C3,dept!$A$2:$C$4,3,FALSE)</f>
        <v>m1234</v>
      </c>
      <c r="G3" s="2">
        <v>102</v>
      </c>
      <c r="H3" s="2" t="s">
        <v>49</v>
      </c>
      <c r="I3" s="2" t="s">
        <v>53</v>
      </c>
      <c r="J3" s="2" t="str">
        <f>_xlfn.XLOOKUP(I3,dept!$A$2:$A$4,dept!$B$2:$B$4)</f>
        <v>market</v>
      </c>
      <c r="K3" s="2" t="str">
        <f>_xlfn.XLOOKUP(I3,dept!$A$2:$A$4,dept!$C$2:$C$4,)</f>
        <v>m1234</v>
      </c>
    </row>
    <row r="4" spans="1:11" x14ac:dyDescent="0.3">
      <c r="A4" s="2">
        <v>103</v>
      </c>
      <c r="B4" s="2" t="s">
        <v>50</v>
      </c>
      <c r="C4" s="2" t="s">
        <v>52</v>
      </c>
      <c r="D4" s="2" t="str">
        <f>VLOOKUP(C4,dept!$A$1:$B$4,2,FALSE)</f>
        <v>sales</v>
      </c>
      <c r="E4" s="2" t="str">
        <f>VLOOKUP(C4,dept!$A$2:$C$4,3,FALSE)</f>
        <v>s9090</v>
      </c>
      <c r="G4" s="2">
        <v>103</v>
      </c>
      <c r="H4" s="2" t="s">
        <v>50</v>
      </c>
      <c r="I4" s="2" t="s">
        <v>52</v>
      </c>
      <c r="J4" s="2" t="str">
        <f>_xlfn.XLOOKUP(I4,dept!$A$2:$A$4,dept!$B$2:$B$4)</f>
        <v>sales</v>
      </c>
      <c r="K4" s="2" t="str">
        <f>_xlfn.XLOOKUP(I4,dept!$A$2:$A$4,dept!$C$2:$C$4,)</f>
        <v>s9090</v>
      </c>
    </row>
    <row r="5" spans="1:11" x14ac:dyDescent="0.3">
      <c r="A5" s="2">
        <v>104</v>
      </c>
      <c r="B5" s="2" t="s">
        <v>51</v>
      </c>
      <c r="C5" s="2" t="s">
        <v>54</v>
      </c>
      <c r="D5" s="2" t="str">
        <f>VLOOKUP(C5,dept!$A$1:$B$4,2,FALSE)</f>
        <v>HR</v>
      </c>
      <c r="E5" s="2" t="str">
        <f>VLOOKUP(C5,dept!$A$2:$C$4,3,FALSE)</f>
        <v>H5555</v>
      </c>
      <c r="G5" s="2">
        <v>104</v>
      </c>
      <c r="H5" s="2" t="s">
        <v>51</v>
      </c>
      <c r="I5" s="2" t="s">
        <v>54</v>
      </c>
      <c r="J5" s="2" t="str">
        <f>_xlfn.XLOOKUP(I5,dept!$A$2:$A$4,dept!$B$2:$B$4)</f>
        <v>HR</v>
      </c>
      <c r="K5" s="2" t="str">
        <f>_xlfn.XLOOKUP(I5,dept!$A$2:$A$4,dept!$C$2:$C$4,)</f>
        <v>H5555</v>
      </c>
    </row>
    <row r="7" spans="1:11" x14ac:dyDescent="0.3">
      <c r="A7" s="11" t="s">
        <v>72</v>
      </c>
      <c r="B7" s="11"/>
      <c r="C7" s="11"/>
      <c r="D7" s="11"/>
      <c r="E7" s="11"/>
      <c r="G7" s="11" t="s">
        <v>73</v>
      </c>
      <c r="H7" s="11"/>
      <c r="I7" s="11"/>
      <c r="J7" s="11"/>
      <c r="K7" s="11"/>
    </row>
  </sheetData>
  <mergeCells count="2">
    <mergeCell ref="A7:E7"/>
    <mergeCell ref="G7:K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E269B-5043-426B-AC98-D3CA4678FFAB}">
  <dimension ref="A1:D9"/>
  <sheetViews>
    <sheetView workbookViewId="0">
      <selection activeCell="A12" sqref="A12"/>
    </sheetView>
  </sheetViews>
  <sheetFormatPr defaultRowHeight="14.4" x14ac:dyDescent="0.3"/>
  <sheetData>
    <row r="1" spans="1:4" x14ac:dyDescent="0.3">
      <c r="A1" t="s">
        <v>47</v>
      </c>
      <c r="B1" t="s">
        <v>55</v>
      </c>
      <c r="C1" t="s">
        <v>58</v>
      </c>
    </row>
    <row r="2" spans="1:4" x14ac:dyDescent="0.3">
      <c r="A2" t="s">
        <v>52</v>
      </c>
      <c r="B2" t="s">
        <v>19</v>
      </c>
      <c r="C2" t="s">
        <v>59</v>
      </c>
    </row>
    <row r="3" spans="1:4" x14ac:dyDescent="0.3">
      <c r="A3" t="s">
        <v>53</v>
      </c>
      <c r="B3" t="s">
        <v>56</v>
      </c>
      <c r="C3" t="s">
        <v>60</v>
      </c>
    </row>
    <row r="4" spans="1:4" x14ac:dyDescent="0.3">
      <c r="A4" t="s">
        <v>54</v>
      </c>
      <c r="B4" t="s">
        <v>57</v>
      </c>
      <c r="C4" t="s">
        <v>61</v>
      </c>
    </row>
    <row r="6" spans="1:4" x14ac:dyDescent="0.3">
      <c r="A6" t="s">
        <v>62</v>
      </c>
    </row>
    <row r="7" spans="1:4" x14ac:dyDescent="0.3">
      <c r="A7" t="s">
        <v>47</v>
      </c>
      <c r="B7" t="s">
        <v>52</v>
      </c>
      <c r="C7" t="s">
        <v>53</v>
      </c>
      <c r="D7" t="s">
        <v>54</v>
      </c>
    </row>
    <row r="8" spans="1:4" x14ac:dyDescent="0.3">
      <c r="A8" t="s">
        <v>55</v>
      </c>
      <c r="B8" t="s">
        <v>19</v>
      </c>
      <c r="C8" t="s">
        <v>56</v>
      </c>
      <c r="D8" t="s">
        <v>57</v>
      </c>
    </row>
    <row r="9" spans="1:4" x14ac:dyDescent="0.3">
      <c r="A9" t="s">
        <v>58</v>
      </c>
      <c r="B9" t="s">
        <v>59</v>
      </c>
      <c r="C9" t="s">
        <v>60</v>
      </c>
      <c r="D9" t="s">
        <v>61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D5EF9-70F7-4ABD-B399-55E34DBE3EEC}">
  <dimension ref="A1:B6"/>
  <sheetViews>
    <sheetView workbookViewId="0">
      <selection activeCell="E3" sqref="E3"/>
    </sheetView>
  </sheetViews>
  <sheetFormatPr defaultRowHeight="14.4" x14ac:dyDescent="0.3"/>
  <cols>
    <col min="1" max="1" width="12.5546875" bestFit="1" customWidth="1"/>
    <col min="2" max="2" width="14.6640625" bestFit="1" customWidth="1"/>
    <col min="3" max="3" width="5.77734375" bestFit="1" customWidth="1"/>
    <col min="4" max="4" width="10.77734375" bestFit="1" customWidth="1"/>
  </cols>
  <sheetData>
    <row r="1" spans="1:2" x14ac:dyDescent="0.3">
      <c r="A1" s="5" t="s">
        <v>18</v>
      </c>
      <c r="B1" t="s">
        <v>71</v>
      </c>
    </row>
    <row r="3" spans="1:2" x14ac:dyDescent="0.3">
      <c r="A3" s="5" t="s">
        <v>68</v>
      </c>
      <c r="B3" t="s">
        <v>70</v>
      </c>
    </row>
    <row r="4" spans="1:2" x14ac:dyDescent="0.3">
      <c r="A4" s="6" t="s">
        <v>64</v>
      </c>
      <c r="B4">
        <v>800</v>
      </c>
    </row>
    <row r="5" spans="1:2" x14ac:dyDescent="0.3">
      <c r="A5" s="6" t="s">
        <v>65</v>
      </c>
      <c r="B5">
        <v>775</v>
      </c>
    </row>
    <row r="6" spans="1:2" x14ac:dyDescent="0.3">
      <c r="A6" s="6" t="s">
        <v>69</v>
      </c>
      <c r="B6">
        <v>787.5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68DAE-CE55-4AE1-8CBD-E198750F45DA}">
  <dimension ref="A1:C5"/>
  <sheetViews>
    <sheetView workbookViewId="0">
      <selection activeCell="I14" sqref="I14"/>
    </sheetView>
  </sheetViews>
  <sheetFormatPr defaultRowHeight="14.4" x14ac:dyDescent="0.3"/>
  <sheetData>
    <row r="1" spans="1:3" x14ac:dyDescent="0.3">
      <c r="A1" t="s">
        <v>63</v>
      </c>
      <c r="B1" t="s">
        <v>18</v>
      </c>
      <c r="C1" t="s">
        <v>19</v>
      </c>
    </row>
    <row r="2" spans="1:3" x14ac:dyDescent="0.3">
      <c r="A2" t="s">
        <v>64</v>
      </c>
      <c r="B2" t="s">
        <v>66</v>
      </c>
      <c r="C2">
        <v>1000</v>
      </c>
    </row>
    <row r="3" spans="1:3" x14ac:dyDescent="0.3">
      <c r="A3" t="s">
        <v>65</v>
      </c>
      <c r="B3" t="s">
        <v>67</v>
      </c>
      <c r="C3">
        <v>800</v>
      </c>
    </row>
    <row r="4" spans="1:3" x14ac:dyDescent="0.3">
      <c r="A4" t="s">
        <v>64</v>
      </c>
      <c r="B4" t="s">
        <v>66</v>
      </c>
      <c r="C4">
        <v>600</v>
      </c>
    </row>
    <row r="5" spans="1:3" x14ac:dyDescent="0.3">
      <c r="A5" t="s">
        <v>65</v>
      </c>
      <c r="B5" t="s">
        <v>67</v>
      </c>
      <c r="C5">
        <v>750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E5093-56FB-455F-98DF-4D8EF2CC2D23}">
  <dimension ref="A1:Q53"/>
  <sheetViews>
    <sheetView showGridLines="0" tabSelected="1" workbookViewId="0">
      <selection activeCell="Q20" sqref="Q20"/>
    </sheetView>
  </sheetViews>
  <sheetFormatPr defaultRowHeight="14.4" x14ac:dyDescent="0.3"/>
  <sheetData>
    <row r="1" spans="1:17" x14ac:dyDescent="0.3">
      <c r="A1" s="8" t="s">
        <v>76</v>
      </c>
      <c r="B1" s="9"/>
      <c r="C1" s="9"/>
      <c r="D1" s="9"/>
      <c r="E1" s="9"/>
      <c r="F1" s="9"/>
      <c r="G1" s="9"/>
      <c r="H1" s="9"/>
      <c r="I1" s="9"/>
      <c r="J1" s="9"/>
      <c r="K1" s="9"/>
      <c r="L1" s="9"/>
      <c r="M1" s="9"/>
      <c r="N1" s="9"/>
      <c r="O1" s="9"/>
      <c r="P1" s="9"/>
      <c r="Q1" s="9"/>
    </row>
    <row r="2" spans="1:17" x14ac:dyDescent="0.3">
      <c r="A2" s="9"/>
      <c r="B2" s="9"/>
      <c r="C2" s="9"/>
      <c r="D2" s="9"/>
      <c r="E2" s="9"/>
      <c r="F2" s="9"/>
      <c r="G2" s="9"/>
      <c r="H2" s="9"/>
      <c r="I2" s="9"/>
      <c r="J2" s="9"/>
      <c r="K2" s="9"/>
      <c r="L2" s="9"/>
      <c r="M2" s="9"/>
      <c r="N2" s="9"/>
      <c r="O2" s="9"/>
      <c r="P2" s="9"/>
      <c r="Q2" s="9"/>
    </row>
    <row r="3" spans="1:17" x14ac:dyDescent="0.3">
      <c r="A3" s="9"/>
      <c r="B3" s="9"/>
      <c r="C3" s="9"/>
      <c r="D3" s="9"/>
      <c r="E3" s="9"/>
      <c r="F3" s="9"/>
      <c r="G3" s="9"/>
      <c r="H3" s="9"/>
      <c r="I3" s="9"/>
      <c r="J3" s="9"/>
      <c r="K3" s="9"/>
      <c r="L3" s="9"/>
      <c r="M3" s="9"/>
      <c r="N3" s="9"/>
      <c r="O3" s="9"/>
      <c r="P3" s="9"/>
      <c r="Q3" s="9"/>
    </row>
    <row r="4" spans="1:17" x14ac:dyDescent="0.3">
      <c r="A4" s="9"/>
      <c r="B4" s="9"/>
      <c r="C4" s="9"/>
      <c r="D4" s="9"/>
      <c r="E4" s="9"/>
      <c r="F4" s="9"/>
      <c r="G4" s="9"/>
      <c r="H4" s="9"/>
      <c r="I4" s="9"/>
      <c r="J4" s="9"/>
      <c r="K4" s="9"/>
      <c r="L4" s="9"/>
      <c r="M4" s="9"/>
      <c r="N4" s="9"/>
      <c r="O4" s="9"/>
      <c r="P4" s="9"/>
      <c r="Q4" s="9"/>
    </row>
    <row r="5" spans="1:17" x14ac:dyDescent="0.3">
      <c r="A5" s="9"/>
      <c r="B5" s="9"/>
      <c r="C5" s="9"/>
      <c r="D5" s="9"/>
      <c r="E5" s="9"/>
      <c r="F5" s="9"/>
      <c r="G5" s="9"/>
      <c r="H5" s="9"/>
      <c r="I5" s="9"/>
      <c r="J5" s="9"/>
      <c r="K5" s="9"/>
      <c r="L5" s="9"/>
      <c r="M5" s="9"/>
      <c r="N5" s="9"/>
      <c r="O5" s="9"/>
      <c r="P5" s="9"/>
      <c r="Q5" s="9"/>
    </row>
    <row r="6" spans="1:17" x14ac:dyDescent="0.3">
      <c r="A6" s="7"/>
      <c r="B6" s="7"/>
      <c r="C6" s="7"/>
      <c r="D6" s="7"/>
      <c r="E6" s="7"/>
      <c r="F6" s="7"/>
      <c r="G6" s="7"/>
      <c r="H6" s="7"/>
      <c r="I6" s="7"/>
      <c r="J6" s="7"/>
      <c r="K6" s="7"/>
      <c r="L6" s="7"/>
      <c r="M6" s="7"/>
      <c r="N6" s="7"/>
      <c r="O6" s="7"/>
      <c r="P6" s="7"/>
      <c r="Q6" s="7"/>
    </row>
    <row r="7" spans="1:17" x14ac:dyDescent="0.3">
      <c r="A7" s="7"/>
      <c r="B7" s="7"/>
      <c r="C7" s="7"/>
      <c r="D7" s="7"/>
      <c r="E7" s="7"/>
      <c r="F7" s="7"/>
      <c r="G7" s="7"/>
      <c r="H7" s="7"/>
      <c r="I7" s="7"/>
      <c r="J7" s="7"/>
      <c r="K7" s="7"/>
      <c r="L7" s="7"/>
      <c r="M7" s="7"/>
      <c r="N7" s="7"/>
      <c r="O7" s="7"/>
      <c r="P7" s="7"/>
      <c r="Q7" s="7"/>
    </row>
    <row r="8" spans="1:17" x14ac:dyDescent="0.3">
      <c r="A8" s="7"/>
      <c r="B8" s="7"/>
      <c r="C8" s="7"/>
      <c r="D8" s="7"/>
      <c r="E8" s="7"/>
      <c r="F8" s="7"/>
      <c r="G8" s="7"/>
      <c r="H8" s="7"/>
      <c r="I8" s="7"/>
      <c r="J8" s="7"/>
      <c r="K8" s="7"/>
      <c r="L8" s="7"/>
      <c r="M8" s="7"/>
      <c r="N8" s="7"/>
      <c r="O8" s="7"/>
      <c r="P8" s="7"/>
      <c r="Q8" s="7"/>
    </row>
    <row r="9" spans="1:17" x14ac:dyDescent="0.3">
      <c r="A9" s="7"/>
      <c r="B9" s="7"/>
      <c r="C9" s="7"/>
      <c r="D9" s="7"/>
      <c r="E9" s="7"/>
      <c r="F9" s="7"/>
      <c r="G9" s="7"/>
      <c r="H9" s="7"/>
      <c r="I9" s="7"/>
      <c r="J9" s="7"/>
      <c r="K9" s="7"/>
      <c r="L9" s="7"/>
      <c r="M9" s="7"/>
      <c r="N9" s="7"/>
      <c r="O9" s="7"/>
      <c r="P9" s="7"/>
      <c r="Q9" s="7"/>
    </row>
    <row r="10" spans="1:17" x14ac:dyDescent="0.3">
      <c r="A10" s="7"/>
      <c r="B10" s="7"/>
      <c r="C10" s="7"/>
      <c r="D10" s="7"/>
      <c r="E10" s="7"/>
      <c r="F10" s="7"/>
      <c r="G10" s="7"/>
      <c r="H10" s="7"/>
      <c r="I10" s="7"/>
      <c r="J10" s="7"/>
      <c r="K10" s="7"/>
      <c r="L10" s="7"/>
      <c r="M10" s="7"/>
      <c r="N10" s="7"/>
      <c r="O10" s="7"/>
      <c r="P10" s="7"/>
      <c r="Q10" s="7"/>
    </row>
    <row r="11" spans="1:17" x14ac:dyDescent="0.3">
      <c r="A11" s="7"/>
      <c r="B11" s="7"/>
      <c r="C11" s="7"/>
      <c r="D11" s="7"/>
      <c r="E11" s="7"/>
      <c r="F11" s="7"/>
      <c r="G11" s="7"/>
      <c r="H11" s="7"/>
      <c r="I11" s="7"/>
      <c r="J11" s="7"/>
      <c r="K11" s="7"/>
      <c r="L11" s="7"/>
      <c r="M11" s="7"/>
      <c r="N11" s="7"/>
      <c r="O11" s="7"/>
      <c r="P11" s="7"/>
      <c r="Q11" s="7"/>
    </row>
    <row r="12" spans="1:17" x14ac:dyDescent="0.3">
      <c r="A12" s="7"/>
      <c r="B12" s="7"/>
      <c r="C12" s="7"/>
      <c r="D12" s="7"/>
      <c r="E12" s="7"/>
      <c r="F12" s="7"/>
      <c r="G12" s="7"/>
      <c r="H12" s="7"/>
      <c r="I12" s="7"/>
      <c r="J12" s="7"/>
      <c r="K12" s="7"/>
      <c r="L12" s="7"/>
      <c r="M12" s="7"/>
      <c r="N12" s="7"/>
      <c r="O12" s="7"/>
      <c r="P12" s="7"/>
      <c r="Q12" s="7"/>
    </row>
    <row r="13" spans="1:17" x14ac:dyDescent="0.3">
      <c r="A13" s="7"/>
      <c r="B13" s="7"/>
      <c r="C13" s="7"/>
      <c r="D13" s="7"/>
      <c r="E13" s="7"/>
      <c r="F13" s="7"/>
      <c r="G13" s="7"/>
      <c r="H13" s="7"/>
      <c r="I13" s="7"/>
      <c r="J13" s="7"/>
      <c r="K13" s="7"/>
      <c r="L13" s="7"/>
      <c r="M13" s="7"/>
      <c r="N13" s="7"/>
      <c r="O13" s="7"/>
      <c r="P13" s="7"/>
      <c r="Q13" s="7"/>
    </row>
    <row r="14" spans="1:17" x14ac:dyDescent="0.3">
      <c r="A14" s="7"/>
      <c r="B14" s="7"/>
      <c r="C14" s="7"/>
      <c r="D14" s="7"/>
      <c r="E14" s="7"/>
      <c r="F14" s="7"/>
      <c r="G14" s="7"/>
      <c r="H14" s="7"/>
      <c r="I14" s="7"/>
      <c r="J14" s="7"/>
      <c r="K14" s="7"/>
      <c r="L14" s="7"/>
      <c r="M14" s="7"/>
      <c r="N14" s="7"/>
      <c r="O14" s="7"/>
      <c r="P14" s="7"/>
      <c r="Q14" s="7"/>
    </row>
    <row r="15" spans="1:17" x14ac:dyDescent="0.3">
      <c r="A15" s="7"/>
      <c r="B15" s="7"/>
      <c r="C15" s="7"/>
      <c r="D15" s="7"/>
      <c r="E15" s="7"/>
      <c r="F15" s="7"/>
      <c r="G15" s="7"/>
      <c r="H15" s="7"/>
      <c r="I15" s="7"/>
      <c r="J15" s="7"/>
      <c r="K15" s="7"/>
      <c r="L15" s="7"/>
      <c r="M15" s="7"/>
      <c r="N15" s="7"/>
      <c r="O15" s="7"/>
      <c r="P15" s="7"/>
      <c r="Q15" s="7"/>
    </row>
    <row r="16" spans="1:17" x14ac:dyDescent="0.3">
      <c r="A16" s="7"/>
      <c r="B16" s="7"/>
      <c r="C16" s="7"/>
      <c r="D16" s="7"/>
      <c r="E16" s="7"/>
      <c r="F16" s="7"/>
      <c r="G16" s="7"/>
      <c r="H16" s="7"/>
      <c r="I16" s="7"/>
      <c r="J16" s="7"/>
      <c r="K16" s="7"/>
      <c r="L16" s="7"/>
      <c r="M16" s="7"/>
      <c r="N16" s="7"/>
      <c r="O16" s="7"/>
      <c r="P16" s="7"/>
      <c r="Q16" s="7"/>
    </row>
    <row r="17" spans="1:17" x14ac:dyDescent="0.3">
      <c r="A17" s="7"/>
      <c r="B17" s="7"/>
      <c r="C17" s="7"/>
      <c r="D17" s="7"/>
      <c r="E17" s="7"/>
      <c r="F17" s="7"/>
      <c r="G17" s="7"/>
      <c r="H17" s="7"/>
      <c r="I17" s="7"/>
      <c r="J17" s="7"/>
      <c r="K17" s="7"/>
      <c r="L17" s="7"/>
      <c r="M17" s="7"/>
      <c r="N17" s="7"/>
      <c r="O17" s="7"/>
      <c r="P17" s="7"/>
      <c r="Q17" s="7"/>
    </row>
    <row r="18" spans="1:17" x14ac:dyDescent="0.3">
      <c r="A18" s="7"/>
      <c r="B18" s="7"/>
      <c r="C18" s="7"/>
      <c r="D18" s="7"/>
      <c r="E18" s="7"/>
      <c r="F18" s="7"/>
      <c r="G18" s="7"/>
      <c r="H18" s="7"/>
      <c r="I18" s="7"/>
      <c r="J18" s="7"/>
      <c r="K18" s="7"/>
      <c r="L18" s="7"/>
      <c r="M18" s="7"/>
      <c r="N18" s="7"/>
      <c r="O18" s="7"/>
      <c r="P18" s="7"/>
      <c r="Q18" s="7"/>
    </row>
    <row r="19" spans="1:17" x14ac:dyDescent="0.3">
      <c r="A19" s="7"/>
      <c r="B19" s="7"/>
      <c r="C19" s="7"/>
      <c r="D19" s="7"/>
      <c r="E19" s="7"/>
      <c r="F19" s="7"/>
      <c r="G19" s="7"/>
      <c r="H19" s="7"/>
      <c r="I19" s="7"/>
      <c r="J19" s="7"/>
      <c r="K19" s="7"/>
      <c r="L19" s="7"/>
      <c r="M19" s="7"/>
      <c r="N19" s="7"/>
      <c r="O19" s="7"/>
      <c r="P19" s="7"/>
      <c r="Q19" s="7"/>
    </row>
    <row r="20" spans="1:17" x14ac:dyDescent="0.3">
      <c r="A20" s="7"/>
      <c r="B20" s="7"/>
      <c r="C20" s="7"/>
      <c r="D20" s="7"/>
      <c r="E20" s="7"/>
      <c r="F20" s="7"/>
      <c r="G20" s="7"/>
      <c r="H20" s="7"/>
      <c r="I20" s="7"/>
      <c r="J20" s="7"/>
      <c r="K20" s="7"/>
      <c r="L20" s="7"/>
      <c r="M20" s="7"/>
      <c r="N20" s="7"/>
      <c r="O20" s="7"/>
      <c r="P20" s="7"/>
      <c r="Q20" s="7"/>
    </row>
    <row r="21" spans="1:17" x14ac:dyDescent="0.3">
      <c r="A21" s="7"/>
      <c r="B21" s="7"/>
      <c r="C21" s="7"/>
      <c r="D21" s="7"/>
      <c r="E21" s="7"/>
      <c r="F21" s="7"/>
      <c r="G21" s="7"/>
      <c r="H21" s="7"/>
      <c r="I21" s="7"/>
      <c r="J21" s="7"/>
      <c r="K21" s="7"/>
      <c r="L21" s="7"/>
      <c r="M21" s="7"/>
      <c r="N21" s="7"/>
      <c r="O21" s="7"/>
      <c r="P21" s="7"/>
      <c r="Q21" s="7"/>
    </row>
    <row r="22" spans="1:17" x14ac:dyDescent="0.3">
      <c r="A22" s="7"/>
      <c r="B22" s="7"/>
      <c r="C22" s="7"/>
      <c r="D22" s="7"/>
      <c r="E22" s="7"/>
      <c r="F22" s="7"/>
      <c r="G22" s="7"/>
      <c r="H22" s="7"/>
      <c r="I22" s="7"/>
      <c r="J22" s="7"/>
      <c r="K22" s="7"/>
      <c r="L22" s="7"/>
      <c r="M22" s="7"/>
      <c r="N22" s="7"/>
      <c r="O22" s="7"/>
      <c r="P22" s="7"/>
      <c r="Q22" s="7"/>
    </row>
    <row r="23" spans="1:17" x14ac:dyDescent="0.3">
      <c r="A23" s="7"/>
      <c r="B23" s="7"/>
      <c r="C23" s="7"/>
      <c r="D23" s="7"/>
      <c r="E23" s="7"/>
      <c r="F23" s="7"/>
      <c r="G23" s="7"/>
      <c r="H23" s="7"/>
      <c r="I23" s="7"/>
      <c r="J23" s="7"/>
      <c r="K23" s="7"/>
      <c r="L23" s="7"/>
      <c r="M23" s="7"/>
      <c r="N23" s="7"/>
      <c r="O23" s="7"/>
      <c r="P23" s="7"/>
      <c r="Q23" s="7"/>
    </row>
    <row r="24" spans="1:17" x14ac:dyDescent="0.3">
      <c r="A24" s="7"/>
      <c r="B24" s="7"/>
      <c r="C24" s="7"/>
      <c r="D24" s="7"/>
      <c r="E24" s="7"/>
      <c r="F24" s="7"/>
      <c r="G24" s="7"/>
      <c r="H24" s="7"/>
      <c r="I24" s="7"/>
      <c r="J24" s="7"/>
      <c r="K24" s="7"/>
      <c r="L24" s="7"/>
      <c r="M24" s="7"/>
      <c r="N24" s="7"/>
      <c r="O24" s="7"/>
      <c r="P24" s="7"/>
      <c r="Q24" s="7"/>
    </row>
    <row r="25" spans="1:17" x14ac:dyDescent="0.3">
      <c r="A25" s="7"/>
      <c r="B25" s="7"/>
      <c r="C25" s="7"/>
      <c r="D25" s="7"/>
      <c r="E25" s="7"/>
      <c r="F25" s="7"/>
      <c r="G25" s="7"/>
      <c r="H25" s="7"/>
      <c r="I25" s="7"/>
      <c r="J25" s="7"/>
      <c r="K25" s="7"/>
      <c r="L25" s="7"/>
      <c r="M25" s="7"/>
      <c r="N25" s="7"/>
      <c r="O25" s="7"/>
      <c r="P25" s="7"/>
      <c r="Q25" s="7"/>
    </row>
    <row r="26" spans="1:17" x14ac:dyDescent="0.3">
      <c r="A26" s="7"/>
      <c r="B26" s="7"/>
      <c r="C26" s="7"/>
      <c r="D26" s="7"/>
      <c r="E26" s="7"/>
      <c r="F26" s="7"/>
      <c r="G26" s="7"/>
      <c r="H26" s="7"/>
      <c r="I26" s="7"/>
      <c r="J26" s="7"/>
      <c r="K26" s="7"/>
      <c r="L26" s="7"/>
      <c r="M26" s="7"/>
      <c r="N26" s="7"/>
      <c r="O26" s="7"/>
      <c r="P26" s="7"/>
      <c r="Q26" s="7"/>
    </row>
    <row r="27" spans="1:17" x14ac:dyDescent="0.3">
      <c r="A27" s="7"/>
      <c r="B27" s="7"/>
      <c r="C27" s="7"/>
      <c r="D27" s="7"/>
      <c r="E27" s="7"/>
      <c r="F27" s="7"/>
      <c r="G27" s="7"/>
      <c r="H27" s="7"/>
      <c r="I27" s="7"/>
      <c r="J27" s="7"/>
      <c r="K27" s="7"/>
      <c r="L27" s="7"/>
      <c r="M27" s="7"/>
      <c r="N27" s="7"/>
      <c r="O27" s="7"/>
      <c r="P27" s="7"/>
      <c r="Q27" s="7"/>
    </row>
    <row r="28" spans="1:17" x14ac:dyDescent="0.3">
      <c r="A28" s="7"/>
      <c r="B28" s="7"/>
      <c r="C28" s="7"/>
      <c r="D28" s="7"/>
      <c r="E28" s="7"/>
      <c r="F28" s="7"/>
      <c r="G28" s="7"/>
      <c r="H28" s="7"/>
      <c r="I28" s="7"/>
      <c r="J28" s="7"/>
      <c r="K28" s="7"/>
      <c r="L28" s="7"/>
      <c r="M28" s="7"/>
      <c r="N28" s="7"/>
      <c r="O28" s="7"/>
      <c r="P28" s="7"/>
      <c r="Q28" s="7"/>
    </row>
    <row r="29" spans="1:17" x14ac:dyDescent="0.3">
      <c r="A29" s="7"/>
      <c r="B29" s="7"/>
      <c r="C29" s="7"/>
      <c r="D29" s="7"/>
      <c r="E29" s="7"/>
      <c r="F29" s="7"/>
      <c r="G29" s="7"/>
      <c r="H29" s="7"/>
      <c r="I29" s="7"/>
      <c r="J29" s="7"/>
      <c r="K29" s="7"/>
      <c r="L29" s="7"/>
      <c r="M29" s="7"/>
      <c r="N29" s="7"/>
      <c r="O29" s="7"/>
      <c r="P29" s="7"/>
      <c r="Q29" s="7"/>
    </row>
    <row r="30" spans="1:17" x14ac:dyDescent="0.3">
      <c r="A30" s="7"/>
      <c r="B30" s="7"/>
      <c r="C30" s="7"/>
      <c r="D30" s="7"/>
      <c r="E30" s="7"/>
      <c r="F30" s="7"/>
      <c r="G30" s="7"/>
      <c r="H30" s="7"/>
      <c r="I30" s="7"/>
      <c r="J30" s="7"/>
      <c r="K30" s="7"/>
      <c r="L30" s="7"/>
      <c r="M30" s="7"/>
      <c r="N30" s="7"/>
      <c r="O30" s="7"/>
      <c r="P30" s="7"/>
      <c r="Q30" s="7"/>
    </row>
    <row r="31" spans="1:17" x14ac:dyDescent="0.3">
      <c r="A31" s="7"/>
      <c r="B31" s="7"/>
      <c r="C31" s="7"/>
      <c r="D31" s="7"/>
      <c r="E31" s="7"/>
      <c r="F31" s="7"/>
      <c r="G31" s="7"/>
      <c r="H31" s="7"/>
      <c r="I31" s="7"/>
      <c r="J31" s="7"/>
      <c r="K31" s="7"/>
      <c r="L31" s="7"/>
      <c r="M31" s="7"/>
      <c r="N31" s="7"/>
      <c r="O31" s="7"/>
      <c r="P31" s="7"/>
      <c r="Q31" s="7"/>
    </row>
    <row r="32" spans="1:17" x14ac:dyDescent="0.3">
      <c r="A32" s="7"/>
      <c r="B32" s="7"/>
      <c r="C32" s="7"/>
      <c r="D32" s="7"/>
      <c r="E32" s="7"/>
      <c r="F32" s="7"/>
      <c r="G32" s="7"/>
      <c r="H32" s="7"/>
      <c r="I32" s="7"/>
      <c r="J32" s="7"/>
      <c r="K32" s="7"/>
      <c r="L32" s="7"/>
      <c r="M32" s="7"/>
      <c r="N32" s="7"/>
      <c r="O32" s="7"/>
      <c r="P32" s="7"/>
      <c r="Q32" s="7"/>
    </row>
    <row r="33" spans="1:17" x14ac:dyDescent="0.3">
      <c r="A33" s="7"/>
      <c r="B33" s="7"/>
      <c r="C33" s="7"/>
      <c r="D33" s="7"/>
      <c r="E33" s="7"/>
      <c r="F33" s="7"/>
      <c r="G33" s="7"/>
      <c r="H33" s="7"/>
      <c r="I33" s="7"/>
      <c r="J33" s="7"/>
      <c r="K33" s="7"/>
      <c r="L33" s="7"/>
      <c r="M33" s="7"/>
      <c r="N33" s="7"/>
      <c r="O33" s="7"/>
      <c r="P33" s="7"/>
      <c r="Q33" s="7"/>
    </row>
    <row r="34" spans="1:17" x14ac:dyDescent="0.3">
      <c r="A34" s="7"/>
      <c r="B34" s="7"/>
      <c r="C34" s="7"/>
      <c r="D34" s="7"/>
      <c r="E34" s="7"/>
      <c r="F34" s="7"/>
      <c r="G34" s="7"/>
      <c r="H34" s="7"/>
      <c r="I34" s="7"/>
      <c r="J34" s="7"/>
      <c r="K34" s="7"/>
      <c r="L34" s="7"/>
      <c r="M34" s="7"/>
      <c r="N34" s="7"/>
      <c r="O34" s="7"/>
      <c r="P34" s="7"/>
      <c r="Q34" s="7"/>
    </row>
    <row r="35" spans="1:17" x14ac:dyDescent="0.3">
      <c r="A35" s="7"/>
      <c r="B35" s="7"/>
      <c r="C35" s="7"/>
      <c r="D35" s="7"/>
      <c r="E35" s="7"/>
      <c r="F35" s="7"/>
      <c r="G35" s="7"/>
      <c r="H35" s="7"/>
      <c r="I35" s="7"/>
      <c r="J35" s="7"/>
      <c r="K35" s="7"/>
      <c r="L35" s="7"/>
      <c r="M35" s="7"/>
      <c r="N35" s="7"/>
      <c r="O35" s="7"/>
      <c r="P35" s="7"/>
      <c r="Q35" s="7"/>
    </row>
    <row r="36" spans="1:17" x14ac:dyDescent="0.3">
      <c r="A36" s="7"/>
      <c r="B36" s="7"/>
      <c r="C36" s="7"/>
      <c r="D36" s="7"/>
      <c r="E36" s="7"/>
      <c r="F36" s="7"/>
      <c r="G36" s="7"/>
      <c r="H36" s="7"/>
      <c r="I36" s="7"/>
      <c r="J36" s="7"/>
      <c r="K36" s="7"/>
      <c r="L36" s="7"/>
      <c r="M36" s="7"/>
      <c r="N36" s="7"/>
      <c r="O36" s="7"/>
      <c r="P36" s="7"/>
      <c r="Q36" s="7"/>
    </row>
    <row r="37" spans="1:17" x14ac:dyDescent="0.3">
      <c r="A37" s="7"/>
      <c r="B37" s="7"/>
      <c r="C37" s="7"/>
      <c r="D37" s="7"/>
      <c r="E37" s="7"/>
      <c r="F37" s="7"/>
      <c r="G37" s="7"/>
      <c r="H37" s="7"/>
      <c r="I37" s="7"/>
      <c r="J37" s="7"/>
      <c r="K37" s="7"/>
      <c r="L37" s="7"/>
      <c r="M37" s="7"/>
      <c r="N37" s="7"/>
      <c r="O37" s="7"/>
      <c r="P37" s="7"/>
      <c r="Q37" s="7"/>
    </row>
    <row r="38" spans="1:17" x14ac:dyDescent="0.3">
      <c r="A38" s="7"/>
      <c r="B38" s="7"/>
      <c r="C38" s="7"/>
      <c r="D38" s="7"/>
      <c r="E38" s="7"/>
      <c r="F38" s="7"/>
      <c r="G38" s="7"/>
      <c r="H38" s="7"/>
      <c r="I38" s="7"/>
      <c r="J38" s="7"/>
      <c r="K38" s="7"/>
      <c r="L38" s="7"/>
      <c r="M38" s="7"/>
      <c r="N38" s="7"/>
      <c r="O38" s="7"/>
      <c r="P38" s="7"/>
      <c r="Q38" s="7"/>
    </row>
    <row r="39" spans="1:17" x14ac:dyDescent="0.3">
      <c r="A39" s="7"/>
      <c r="B39" s="7"/>
      <c r="C39" s="7"/>
      <c r="D39" s="7"/>
      <c r="E39" s="7"/>
      <c r="F39" s="7"/>
      <c r="G39" s="7"/>
      <c r="H39" s="7"/>
      <c r="I39" s="7"/>
      <c r="J39" s="7"/>
      <c r="K39" s="7"/>
      <c r="L39" s="7"/>
      <c r="M39" s="7"/>
      <c r="N39" s="7"/>
      <c r="O39" s="7"/>
      <c r="P39" s="7"/>
      <c r="Q39" s="7"/>
    </row>
    <row r="40" spans="1:17" x14ac:dyDescent="0.3">
      <c r="A40" s="7"/>
      <c r="B40" s="7"/>
      <c r="C40" s="7"/>
      <c r="D40" s="7"/>
      <c r="E40" s="7"/>
      <c r="F40" s="7"/>
      <c r="G40" s="7"/>
      <c r="H40" s="7"/>
      <c r="I40" s="7"/>
      <c r="J40" s="7"/>
      <c r="K40" s="7"/>
      <c r="L40" s="7"/>
      <c r="M40" s="7"/>
      <c r="N40" s="7"/>
      <c r="O40" s="7"/>
      <c r="P40" s="7"/>
      <c r="Q40" s="7"/>
    </row>
    <row r="41" spans="1:17" x14ac:dyDescent="0.3">
      <c r="A41" s="7"/>
      <c r="B41" s="7"/>
      <c r="C41" s="7"/>
      <c r="D41" s="7"/>
      <c r="E41" s="7"/>
      <c r="F41" s="7"/>
      <c r="G41" s="7"/>
      <c r="H41" s="7"/>
      <c r="I41" s="7"/>
      <c r="J41" s="7"/>
      <c r="K41" s="7"/>
      <c r="L41" s="7"/>
      <c r="M41" s="7"/>
      <c r="N41" s="7"/>
      <c r="O41" s="7"/>
      <c r="P41" s="7"/>
      <c r="Q41" s="7"/>
    </row>
    <row r="42" spans="1:17" x14ac:dyDescent="0.3">
      <c r="A42" s="7"/>
      <c r="B42" s="7"/>
      <c r="C42" s="7"/>
      <c r="D42" s="7"/>
      <c r="E42" s="7"/>
      <c r="F42" s="7"/>
      <c r="G42" s="7"/>
      <c r="H42" s="7"/>
      <c r="I42" s="7"/>
      <c r="J42" s="7"/>
      <c r="K42" s="7"/>
      <c r="L42" s="7"/>
      <c r="M42" s="7"/>
      <c r="N42" s="7"/>
      <c r="O42" s="7"/>
      <c r="P42" s="7"/>
      <c r="Q42" s="7"/>
    </row>
    <row r="43" spans="1:17" x14ac:dyDescent="0.3">
      <c r="A43" s="7"/>
      <c r="B43" s="7"/>
      <c r="C43" s="7"/>
      <c r="D43" s="7"/>
      <c r="E43" s="7"/>
      <c r="F43" s="7"/>
      <c r="G43" s="7"/>
      <c r="H43" s="7"/>
      <c r="I43" s="7"/>
      <c r="J43" s="7"/>
      <c r="K43" s="7"/>
      <c r="L43" s="7"/>
      <c r="M43" s="7"/>
      <c r="N43" s="7"/>
      <c r="O43" s="7"/>
      <c r="P43" s="7"/>
      <c r="Q43" s="7"/>
    </row>
    <row r="44" spans="1:17" x14ac:dyDescent="0.3">
      <c r="A44" s="7"/>
      <c r="B44" s="7"/>
      <c r="C44" s="7"/>
      <c r="D44" s="7"/>
      <c r="E44" s="7"/>
      <c r="F44" s="7"/>
      <c r="G44" s="7"/>
      <c r="H44" s="7"/>
      <c r="I44" s="7"/>
      <c r="J44" s="7"/>
      <c r="K44" s="7"/>
      <c r="L44" s="7"/>
      <c r="M44" s="7"/>
      <c r="N44" s="7"/>
      <c r="O44" s="7"/>
      <c r="P44" s="7"/>
      <c r="Q44" s="7"/>
    </row>
    <row r="45" spans="1:17" x14ac:dyDescent="0.3">
      <c r="A45" s="7"/>
      <c r="B45" s="7"/>
      <c r="C45" s="7"/>
      <c r="D45" s="7"/>
      <c r="E45" s="7"/>
      <c r="F45" s="7"/>
      <c r="G45" s="7"/>
      <c r="H45" s="7"/>
      <c r="I45" s="7"/>
      <c r="J45" s="7"/>
      <c r="K45" s="7"/>
      <c r="L45" s="7"/>
      <c r="M45" s="7"/>
      <c r="N45" s="7"/>
      <c r="O45" s="7"/>
      <c r="P45" s="7"/>
      <c r="Q45" s="7"/>
    </row>
    <row r="46" spans="1:17" x14ac:dyDescent="0.3">
      <c r="A46" s="7"/>
      <c r="B46" s="7"/>
      <c r="C46" s="7"/>
      <c r="D46" s="7"/>
      <c r="E46" s="7"/>
      <c r="F46" s="7"/>
      <c r="G46" s="7"/>
      <c r="H46" s="7"/>
      <c r="I46" s="7"/>
      <c r="J46" s="7"/>
      <c r="K46" s="7"/>
      <c r="L46" s="7"/>
      <c r="M46" s="7"/>
      <c r="N46" s="7"/>
      <c r="O46" s="7"/>
      <c r="P46" s="7"/>
      <c r="Q46" s="7"/>
    </row>
    <row r="47" spans="1:17" x14ac:dyDescent="0.3">
      <c r="A47" s="7"/>
      <c r="B47" s="7"/>
      <c r="C47" s="7"/>
      <c r="D47" s="7"/>
      <c r="E47" s="7"/>
      <c r="F47" s="7"/>
      <c r="G47" s="7"/>
      <c r="H47" s="7"/>
      <c r="I47" s="7"/>
      <c r="J47" s="7"/>
      <c r="K47" s="7"/>
      <c r="L47" s="7"/>
      <c r="M47" s="7"/>
      <c r="N47" s="7"/>
      <c r="O47" s="7"/>
      <c r="P47" s="7"/>
      <c r="Q47" s="7"/>
    </row>
    <row r="48" spans="1:17" x14ac:dyDescent="0.3">
      <c r="A48" s="7"/>
      <c r="B48" s="7"/>
      <c r="C48" s="7"/>
      <c r="D48" s="7"/>
      <c r="E48" s="7"/>
      <c r="F48" s="7"/>
      <c r="G48" s="7"/>
      <c r="H48" s="7"/>
      <c r="I48" s="7"/>
      <c r="J48" s="7"/>
      <c r="K48" s="7"/>
      <c r="L48" s="7"/>
      <c r="M48" s="7"/>
      <c r="N48" s="7"/>
      <c r="O48" s="7"/>
      <c r="P48" s="7"/>
      <c r="Q48" s="7"/>
    </row>
    <row r="49" spans="1:17" x14ac:dyDescent="0.3">
      <c r="A49" s="7"/>
      <c r="B49" s="7"/>
      <c r="C49" s="7"/>
      <c r="D49" s="7"/>
      <c r="E49" s="7"/>
      <c r="F49" s="7"/>
      <c r="G49" s="7"/>
      <c r="H49" s="7"/>
      <c r="I49" s="7"/>
      <c r="J49" s="7"/>
      <c r="K49" s="7"/>
      <c r="L49" s="7"/>
      <c r="M49" s="7"/>
      <c r="N49" s="7"/>
      <c r="O49" s="7"/>
      <c r="P49" s="7"/>
      <c r="Q49" s="7"/>
    </row>
    <row r="50" spans="1:17" x14ac:dyDescent="0.3">
      <c r="A50" s="7"/>
      <c r="B50" s="7"/>
      <c r="C50" s="7"/>
      <c r="D50" s="7"/>
      <c r="E50" s="7"/>
      <c r="F50" s="7"/>
      <c r="G50" s="7"/>
      <c r="H50" s="7"/>
      <c r="I50" s="7"/>
      <c r="J50" s="7"/>
      <c r="K50" s="7"/>
      <c r="L50" s="7"/>
      <c r="M50" s="7"/>
      <c r="N50" s="7"/>
      <c r="O50" s="7"/>
      <c r="P50" s="7"/>
      <c r="Q50" s="7"/>
    </row>
    <row r="51" spans="1:17" x14ac:dyDescent="0.3">
      <c r="A51" s="7"/>
      <c r="B51" s="7"/>
      <c r="C51" s="7"/>
      <c r="D51" s="7"/>
      <c r="E51" s="7"/>
      <c r="F51" s="7"/>
      <c r="G51" s="7"/>
      <c r="H51" s="7"/>
      <c r="I51" s="7"/>
      <c r="J51" s="7"/>
      <c r="K51" s="7"/>
      <c r="L51" s="7"/>
      <c r="M51" s="7"/>
      <c r="N51" s="7"/>
      <c r="O51" s="7"/>
      <c r="P51" s="7"/>
      <c r="Q51" s="7"/>
    </row>
    <row r="52" spans="1:17" x14ac:dyDescent="0.3">
      <c r="A52" s="7"/>
      <c r="B52" s="7"/>
      <c r="C52" s="7"/>
      <c r="D52" s="7"/>
      <c r="E52" s="7"/>
      <c r="F52" s="7"/>
      <c r="G52" s="7"/>
      <c r="H52" s="7"/>
      <c r="I52" s="7"/>
      <c r="J52" s="7"/>
      <c r="K52" s="7"/>
      <c r="L52" s="7"/>
      <c r="M52" s="7"/>
      <c r="N52" s="7"/>
      <c r="O52" s="7"/>
      <c r="P52" s="7"/>
      <c r="Q52" s="7"/>
    </row>
    <row r="53" spans="1:17" x14ac:dyDescent="0.3">
      <c r="A53" s="7"/>
      <c r="B53" s="7"/>
      <c r="C53" s="7"/>
      <c r="D53" s="7"/>
      <c r="E53" s="7"/>
      <c r="F53" s="7"/>
      <c r="G53" s="7"/>
      <c r="H53" s="7"/>
      <c r="I53" s="7"/>
      <c r="J53" s="7"/>
      <c r="K53" s="7"/>
      <c r="L53" s="7"/>
      <c r="M53" s="7"/>
      <c r="N53" s="7"/>
      <c r="O53" s="7"/>
      <c r="P53" s="7"/>
      <c r="Q53" s="7"/>
    </row>
  </sheetData>
  <mergeCells count="1">
    <mergeCell ref="A1:Q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Sheet2</vt:lpstr>
      <vt:lpstr>Emp</vt:lpstr>
      <vt:lpstr>dept</vt:lpstr>
      <vt:lpstr>Sheet5</vt:lpstr>
      <vt:lpstr>e_product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Meghana Uppar</dc:creator>
  <cp:lastModifiedBy>Meghana Uppar</cp:lastModifiedBy>
  <dcterms:created xsi:type="dcterms:W3CDTF">2026-03-09T12:09:31Z</dcterms:created>
  <dcterms:modified xsi:type="dcterms:W3CDTF">2026-03-11T14:55:01Z</dcterms:modified>
</cp:coreProperties>
</file>